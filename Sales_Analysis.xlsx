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ales data" sheetId="1" r:id="rId5"/>
    <sheet state="visible" name="Monthly Revenue" sheetId="2" r:id="rId6"/>
    <sheet state="visible" name="Regional Revenue" sheetId="3" r:id="rId7"/>
    <sheet state="visible" name="Category Revenue" sheetId="4" r:id="rId8"/>
    <sheet state="visible" name="Product Revenue" sheetId="5" r:id="rId9"/>
    <sheet state="visible" name="Product data" sheetId="6" r:id="rId10"/>
    <sheet state="visible" name="Revenue Analysis" sheetId="7" r:id="rId11"/>
    <sheet state="visible" name="Category Analysis" sheetId="8" r:id="rId12"/>
    <sheet state="visible" name="Regional Analysis" sheetId="9" r:id="rId13"/>
    <sheet state="visible" name="Dashboard" sheetId="10" r:id="rId14"/>
  </sheets>
  <definedNames/>
  <calcPr/>
  <pivotCaches>
    <pivotCache cacheId="0" r:id="rId15"/>
    <pivotCache cacheId="1" r:id="rId16"/>
    <pivotCache cacheId="2" r:id="rId17"/>
  </pivotCaches>
</workbook>
</file>

<file path=xl/sharedStrings.xml><?xml version="1.0" encoding="utf-8"?>
<sst xmlns="http://schemas.openxmlformats.org/spreadsheetml/2006/main" count="111" uniqueCount="55">
  <si>
    <t>SaleID</t>
  </si>
  <si>
    <t>ProductID</t>
  </si>
  <si>
    <t>Quantity</t>
  </si>
  <si>
    <t>SaleDate</t>
  </si>
  <si>
    <t>CustomerName</t>
  </si>
  <si>
    <t>Region</t>
  </si>
  <si>
    <t>Unit Price</t>
  </si>
  <si>
    <t>Sales Amount</t>
  </si>
  <si>
    <t>Product Name</t>
  </si>
  <si>
    <t>Category</t>
  </si>
  <si>
    <t>Arun</t>
  </si>
  <si>
    <t>South</t>
  </si>
  <si>
    <t>Priya</t>
  </si>
  <si>
    <t>SUM of Sales Amount</t>
  </si>
  <si>
    <t>North</t>
  </si>
  <si>
    <t>East</t>
  </si>
  <si>
    <t>West</t>
  </si>
  <si>
    <t>Grand Total</t>
  </si>
  <si>
    <t>Rahul</t>
  </si>
  <si>
    <t>Anjali</t>
  </si>
  <si>
    <t>Accessories</t>
  </si>
  <si>
    <t>Electronics</t>
  </si>
  <si>
    <t>Furniture</t>
  </si>
  <si>
    <t>Vishnu</t>
  </si>
  <si>
    <t>Meena</t>
  </si>
  <si>
    <t>Sanjay</t>
  </si>
  <si>
    <t>Divya</t>
  </si>
  <si>
    <t>Karthik</t>
  </si>
  <si>
    <t>ProductName</t>
  </si>
  <si>
    <t>Swetha</t>
  </si>
  <si>
    <t>UnitPrice</t>
  </si>
  <si>
    <t>Laptop</t>
  </si>
  <si>
    <t>Smartphone</t>
  </si>
  <si>
    <t>Headphones</t>
  </si>
  <si>
    <t>Keyboard</t>
  </si>
  <si>
    <t>Mouse</t>
  </si>
  <si>
    <t>Monitor</t>
  </si>
  <si>
    <t>Office Chair</t>
  </si>
  <si>
    <t>Desk</t>
  </si>
  <si>
    <t>Printer</t>
  </si>
  <si>
    <t>Webcam</t>
  </si>
  <si>
    <t>Ajay</t>
  </si>
  <si>
    <t>Nisha</t>
  </si>
  <si>
    <t>Manoj</t>
  </si>
  <si>
    <t>Keerthi</t>
  </si>
  <si>
    <t>Hari</t>
  </si>
  <si>
    <t>SaleDate - Month</t>
  </si>
  <si>
    <t>Jan</t>
  </si>
  <si>
    <t>Feb</t>
  </si>
  <si>
    <t>Mar</t>
  </si>
  <si>
    <t>SALES &amp; PRODUCT ANALYTICS DASHBOARD</t>
  </si>
  <si>
    <t>Total Revenue</t>
  </si>
  <si>
    <t>Total Quantity Sold</t>
  </si>
  <si>
    <t>Total Transactions</t>
  </si>
  <si>
    <t>Average Sale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</si>
</sst>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[$₹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3.0"/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1" numFmtId="165" xfId="0" applyFont="1" applyNumberForma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1" numFmtId="166" xfId="0" applyAlignment="1" applyBorder="1" applyFont="1" applyNumberFormat="1">
      <alignment horizontal="center"/>
    </xf>
    <xf borderId="4" fillId="0" fontId="5" numFmtId="0" xfId="0" applyBorder="1" applyFont="1"/>
    <xf borderId="3" fillId="0" fontId="1" numFmtId="166" xfId="0" applyAlignment="1" applyBorder="1" applyFont="1" applyNumberFormat="1">
      <alignment horizontal="center"/>
    </xf>
    <xf borderId="5" fillId="0" fontId="5" numFmtId="0" xfId="0" applyBorder="1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Revenue'!$B$1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Revenue'!$A$2:$A$4</c:f>
            </c:strRef>
          </c:cat>
          <c:val>
            <c:numRef>
              <c:f>'Monthly Revenue'!$B$2:$B$4</c:f>
              <c:numCache/>
            </c:numRef>
          </c:val>
          <c:smooth val="0"/>
        </c:ser>
        <c:axId val="775335854"/>
        <c:axId val="723860390"/>
      </c:lineChart>
      <c:catAx>
        <c:axId val="775335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860390"/>
      </c:catAx>
      <c:valAx>
        <c:axId val="723860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335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'Category Revenue'!$B$1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'Category Revenue'!$A$2:$A$4</c:f>
            </c:strRef>
          </c:cat>
          <c:val>
            <c:numRef>
              <c:f>'Category Revenue'!$B$2:$B$4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'Product Revenue'!$B$1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'Product Revenue'!$A$2:$A$11</c:f>
            </c:strRef>
          </c:cat>
          <c:val>
            <c:numRef>
              <c:f>'Product Revenue'!$B$2:$B$11</c:f>
              <c:numCache/>
            </c:numRef>
          </c:val>
        </c:ser>
        <c:axId val="967493862"/>
        <c:axId val="472154162"/>
      </c:barChart>
      <c:catAx>
        <c:axId val="967493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154162"/>
      </c:catAx>
      <c:valAx>
        <c:axId val="472154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493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'Product Revenue'!$B$1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'Product Revenue'!$A$2:$A$11</c:f>
            </c:strRef>
          </c:cat>
          <c:val>
            <c:numRef>
              <c:f>'Product Revenue'!$B$2:$B$11</c:f>
              <c:numCache/>
            </c:numRef>
          </c:val>
        </c:ser>
        <c:axId val="1891894099"/>
        <c:axId val="1312245783"/>
      </c:barChart>
      <c:catAx>
        <c:axId val="1891894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245783"/>
      </c:catAx>
      <c:valAx>
        <c:axId val="1312245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894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'Category Revenue'!$B$1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'Category Revenue'!$A$2:$A$4</c:f>
            </c:strRef>
          </c:cat>
          <c:val>
            <c:numRef>
              <c:f>'Category Revenue'!$B$2:$B$4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Revenue'!$B$1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Revenue'!$A$2:$A$4</c:f>
            </c:strRef>
          </c:cat>
          <c:val>
            <c:numRef>
              <c:f>'Monthly Revenue'!$B$2:$B$4</c:f>
              <c:numCache/>
            </c:numRef>
          </c:val>
          <c:smooth val="0"/>
        </c:ser>
        <c:axId val="345568378"/>
        <c:axId val="875045855"/>
      </c:lineChart>
      <c:catAx>
        <c:axId val="345568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045855"/>
      </c:catAx>
      <c:valAx>
        <c:axId val="875045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568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4</xdr:row>
      <xdr:rowOff>171450</xdr:rowOff>
    </xdr:from>
    <xdr:ext cx="3829050" cy="2628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</xdr:colOff>
      <xdr:row>4</xdr:row>
      <xdr:rowOff>171450</xdr:rowOff>
    </xdr:from>
    <xdr:ext cx="3924300" cy="2628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952500</xdr:colOff>
      <xdr:row>18</xdr:row>
      <xdr:rowOff>180975</xdr:rowOff>
    </xdr:from>
    <xdr:ext cx="4286250" cy="25812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" sheet="Raw sales data"/>
  </cacheSource>
  <cacheFields>
    <cacheField name="Sale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Product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Quantity" numFmtId="0">
      <sharedItems containsSemiMixedTypes="0" containsString="0" containsNumber="1" containsInteger="1">
        <n v="2.0"/>
        <n v="3.0"/>
        <n v="5.0"/>
        <n v="4.0"/>
        <n v="10.0"/>
        <n v="1.0"/>
        <n v="8.0"/>
        <n v="6.0"/>
        <n v="12.0"/>
      </sharedItems>
    </cacheField>
    <cacheField name="SaleDate" numFmtId="164">
      <sharedItems containsSemiMixedTypes="0" containsDate="1" containsString="0">
        <d v="2026-01-05T00:00:00Z"/>
        <d v="2026-01-08T00:00:00Z"/>
        <d v="2026-01-12T00:00:00Z"/>
        <d v="2026-01-15T00:00:00Z"/>
        <d v="2026-01-18T00:00:00Z"/>
        <d v="2026-01-20T00:00:00Z"/>
        <d v="2026-02-02T00:00:00Z"/>
        <d v="2026-02-05T00:00:00Z"/>
        <d v="2026-02-10T00:00:00Z"/>
        <d v="2026-02-15T00:00:00Z"/>
        <d v="2026-02-20T00:00:00Z"/>
        <d v="2026-02-25T00:00:00Z"/>
        <d v="2026-03-03T00:00:00Z"/>
        <d v="2026-03-07T00:00:00Z"/>
        <d v="2026-03-12T00:00:00Z"/>
        <d v="2026-03-18T00:00:00Z"/>
        <d v="2026-03-22T00:00:00Z"/>
        <d v="2026-03-25T00:00:00Z"/>
        <d v="2026-03-28T00:00:00Z"/>
        <d v="2026-03-30T00:00:00Z"/>
      </sharedItems>
    </cacheField>
    <cacheField name="CustomerName" numFmtId="0">
      <sharedItems>
        <s v="Arun"/>
        <s v="Priya"/>
        <s v="Rahul"/>
        <s v="Anjali"/>
        <s v="Vishnu"/>
        <s v="Meena"/>
        <s v="Sanjay"/>
        <s v="Divya"/>
        <s v="Karthik"/>
        <s v="Swetha"/>
        <s v="Ajay"/>
        <s v="Nisha"/>
        <s v="Manoj"/>
        <s v="Keerthi"/>
        <s v="Hari"/>
      </sharedItems>
    </cacheField>
    <cacheField name="Region" numFmtId="0">
      <sharedItems>
        <s v="South"/>
        <s v="North"/>
        <s v="East"/>
        <s v="West"/>
      </sharedItems>
    </cacheField>
    <cacheField name="Unit Price" numFmtId="0">
      <sharedItems containsSemiMixedTypes="0" containsString="0" containsNumber="1" containsInteger="1">
        <n v="55000.0"/>
        <n v="25000.0"/>
        <n v="2500.0"/>
        <n v="1500.0"/>
        <n v="800.0"/>
        <n v="12000.0"/>
        <n v="8500.0"/>
        <n v="10000.0"/>
        <n v="15000.0"/>
        <n v="3500.0"/>
      </sharedItems>
    </cacheField>
    <cacheField name="Sales Amount" numFmtId="0">
      <sharedItems containsSemiMixedTypes="0" containsString="0" containsNumber="1" containsInteger="1">
        <n v="110000.0"/>
        <n v="75000.0"/>
        <n v="12500.0"/>
        <n v="6000.0"/>
        <n v="8000.0"/>
        <n v="24000.0"/>
        <n v="25500.0"/>
        <n v="20000.0"/>
        <n v="15000.0"/>
        <n v="14000.0"/>
        <n v="55000.0"/>
        <n v="50000.0"/>
        <n v="9000.0"/>
        <n v="9600.0"/>
        <n v="36000.0"/>
        <n v="17000.0"/>
        <n v="30000.0"/>
        <n v="17500.0"/>
      </sharedItems>
    </cacheField>
    <cacheField name="Product Name" numFmtId="0">
      <sharedItems>
        <s v="Laptop"/>
        <s v="Smartphone"/>
        <s v="Headphones"/>
        <s v="Keyboard"/>
        <s v="Mouse"/>
        <s v="Monitor"/>
        <s v="Office Chair"/>
        <s v="Desk"/>
        <s v="Printer"/>
        <s v="Webcam"/>
      </sharedItems>
    </cacheField>
    <cacheField name="Category" numFmtId="0">
      <sharedItems>
        <s v="Electronics"/>
        <s v="Accessories"/>
        <s v="Furnitur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1" sheet="Raw sales data"/>
  </cacheSource>
  <cacheFields>
    <cacheField name="Sale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Product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Quantity" numFmtId="0">
      <sharedItems containsSemiMixedTypes="0" containsString="0" containsNumber="1" containsInteger="1">
        <n v="2.0"/>
        <n v="3.0"/>
        <n v="5.0"/>
        <n v="4.0"/>
        <n v="10.0"/>
        <n v="1.0"/>
        <n v="8.0"/>
        <n v="6.0"/>
        <n v="12.0"/>
      </sharedItems>
    </cacheField>
    <cacheField name="SaleDate" numFmtId="164">
      <sharedItems containsSemiMixedTypes="0" containsDate="1" containsString="0">
        <d v="2026-01-05T00:00:00Z"/>
        <d v="2026-01-08T00:00:00Z"/>
        <d v="2026-01-12T00:00:00Z"/>
        <d v="2026-01-15T00:00:00Z"/>
        <d v="2026-01-18T00:00:00Z"/>
        <d v="2026-01-20T00:00:00Z"/>
        <d v="2026-02-02T00:00:00Z"/>
        <d v="2026-02-05T00:00:00Z"/>
        <d v="2026-02-10T00:00:00Z"/>
        <d v="2026-02-15T00:00:00Z"/>
        <d v="2026-02-20T00:00:00Z"/>
        <d v="2026-02-25T00:00:00Z"/>
        <d v="2026-03-03T00:00:00Z"/>
        <d v="2026-03-07T00:00:00Z"/>
        <d v="2026-03-12T00:00:00Z"/>
        <d v="2026-03-18T00:00:00Z"/>
        <d v="2026-03-22T00:00:00Z"/>
        <d v="2026-03-25T00:00:00Z"/>
        <d v="2026-03-28T00:00:00Z"/>
        <d v="2026-03-30T00:00:00Z"/>
      </sharedItems>
    </cacheField>
    <cacheField name="CustomerName" numFmtId="0">
      <sharedItems>
        <s v="Arun"/>
        <s v="Priya"/>
        <s v="Rahul"/>
        <s v="Anjali"/>
        <s v="Vishnu"/>
        <s v="Meena"/>
        <s v="Sanjay"/>
        <s v="Divya"/>
        <s v="Karthik"/>
        <s v="Swetha"/>
        <s v="Ajay"/>
        <s v="Nisha"/>
        <s v="Manoj"/>
        <s v="Keerthi"/>
        <s v="Hari"/>
      </sharedItems>
    </cacheField>
    <cacheField name="Region" numFmtId="0">
      <sharedItems>
        <s v="South"/>
        <s v="North"/>
        <s v="East"/>
        <s v="West"/>
      </sharedItems>
    </cacheField>
    <cacheField name="Unit Price" numFmtId="0">
      <sharedItems containsSemiMixedTypes="0" containsString="0" containsNumber="1" containsInteger="1">
        <n v="55000.0"/>
        <n v="25000.0"/>
        <n v="2500.0"/>
        <n v="1500.0"/>
        <n v="800.0"/>
        <n v="12000.0"/>
        <n v="8500.0"/>
        <n v="10000.0"/>
        <n v="15000.0"/>
        <n v="3500.0"/>
      </sharedItems>
    </cacheField>
    <cacheField name="Sales Amount" numFmtId="0">
      <sharedItems containsSemiMixedTypes="0" containsString="0" containsNumber="1" containsInteger="1">
        <n v="110000.0"/>
        <n v="75000.0"/>
        <n v="12500.0"/>
        <n v="6000.0"/>
        <n v="8000.0"/>
        <n v="24000.0"/>
        <n v="25500.0"/>
        <n v="20000.0"/>
        <n v="15000.0"/>
        <n v="14000.0"/>
        <n v="55000.0"/>
        <n v="50000.0"/>
        <n v="9000.0"/>
        <n v="9600.0"/>
        <n v="36000.0"/>
        <n v="17000.0"/>
        <n v="30000.0"/>
        <n v="17500.0"/>
      </sharedItems>
    </cacheField>
    <cacheField name="Product Name" numFmtId="0">
      <sharedItems>
        <s v="Laptop"/>
        <s v="Smartphone"/>
        <s v="Headphones"/>
        <s v="Keyboard"/>
        <s v="Mouse"/>
        <s v="Monitor"/>
        <s v="Office Chair"/>
        <s v="Desk"/>
        <s v="Printer"/>
        <s v="Webcam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" sheet="Raw sales data"/>
  </cacheSource>
  <cacheFields>
    <cacheField name="Sale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Product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Quantity" numFmtId="0">
      <sharedItems containsSemiMixedTypes="0" containsString="0" containsNumber="1" containsInteger="1">
        <n v="2.0"/>
        <n v="3.0"/>
        <n v="5.0"/>
        <n v="4.0"/>
        <n v="10.0"/>
        <n v="1.0"/>
        <n v="8.0"/>
        <n v="6.0"/>
        <n v="12.0"/>
      </sharedItems>
    </cacheField>
    <cacheField name="SaleDate" numFmtId="164">
      <sharedItems containsSemiMixedTypes="0" containsNonDate="0" containsDate="1" containsString="0">
        <d v="2026-01-05T00:00:00Z"/>
        <d v="2026-01-08T00:00:00Z"/>
        <d v="2026-01-12T00:00:00Z"/>
        <d v="2026-01-15T00:00:00Z"/>
        <d v="2026-01-18T00:00:00Z"/>
        <d v="2026-01-20T00:00:00Z"/>
        <d v="2026-02-02T00:00:00Z"/>
        <d v="2026-02-05T00:00:00Z"/>
        <d v="2026-02-10T00:00:00Z"/>
        <d v="2026-02-15T00:00:00Z"/>
        <d v="2026-02-20T00:00:00Z"/>
        <d v="2026-02-25T00:00:00Z"/>
        <d v="2026-03-03T00:00:00Z"/>
        <d v="2026-03-07T00:00:00Z"/>
        <d v="2026-03-12T00:00:00Z"/>
        <d v="2026-03-18T00:00:00Z"/>
        <d v="2026-03-22T00:00:00Z"/>
        <d v="2026-03-25T00:00:00Z"/>
        <d v="2026-03-28T00:00:00Z"/>
        <d v="2026-03-30T00:00:00Z"/>
      </sharedItems>
      <fieldGroup par="10"/>
    </cacheField>
    <cacheField name="CustomerName" numFmtId="0">
      <sharedItems>
        <s v="Arun"/>
        <s v="Priya"/>
        <s v="Rahul"/>
        <s v="Anjali"/>
        <s v="Vishnu"/>
        <s v="Meena"/>
        <s v="Sanjay"/>
        <s v="Divya"/>
        <s v="Karthik"/>
        <s v="Swetha"/>
        <s v="Ajay"/>
        <s v="Nisha"/>
        <s v="Manoj"/>
        <s v="Keerthi"/>
        <s v="Hari"/>
      </sharedItems>
    </cacheField>
    <cacheField name="Region" numFmtId="0">
      <sharedItems>
        <s v="South"/>
        <s v="North"/>
        <s v="East"/>
        <s v="West"/>
      </sharedItems>
    </cacheField>
    <cacheField name="Unit Price" numFmtId="0">
      <sharedItems containsSemiMixedTypes="0" containsString="0" containsNumber="1" containsInteger="1">
        <n v="55000.0"/>
        <n v="25000.0"/>
        <n v="2500.0"/>
        <n v="1500.0"/>
        <n v="800.0"/>
        <n v="12000.0"/>
        <n v="8500.0"/>
        <n v="10000.0"/>
        <n v="15000.0"/>
        <n v="3500.0"/>
      </sharedItems>
    </cacheField>
    <cacheField name="Sales Amount" numFmtId="0">
      <sharedItems containsSemiMixedTypes="0" containsString="0" containsNumber="1" containsInteger="1">
        <n v="110000.0"/>
        <n v="75000.0"/>
        <n v="12500.0"/>
        <n v="6000.0"/>
        <n v="8000.0"/>
        <n v="24000.0"/>
        <n v="25500.0"/>
        <n v="20000.0"/>
        <n v="15000.0"/>
        <n v="14000.0"/>
        <n v="55000.0"/>
        <n v="50000.0"/>
        <n v="9000.0"/>
        <n v="9600.0"/>
        <n v="36000.0"/>
        <n v="17000.0"/>
        <n v="30000.0"/>
        <n v="17500.0"/>
      </sharedItems>
    </cacheField>
    <cacheField name="Product Name" numFmtId="0">
      <sharedItems>
        <s v="Laptop"/>
        <s v="Smartphone"/>
        <s v="Headphones"/>
        <s v="Keyboard"/>
        <s v="Mouse"/>
        <s v="Monitor"/>
        <s v="Office Chair"/>
        <s v="Desk"/>
        <s v="Printer"/>
        <s v="Webcam"/>
      </sharedItems>
    </cacheField>
    <cacheField name="Category" numFmtId="0">
      <sharedItems>
        <s v="Electronics"/>
        <s v="Accessories"/>
        <s v="Furniture"/>
      </sharedItems>
    </cacheField>
    <cacheField name="saledate2" databaseField="0">
      <fieldGroup base="3">
        <rangePr autoStart="0" autoEnd="0" groupBy="months" startDate="2026-01-05T00:00:00Z" endDate="2026-03-31T00:00:00Z"/>
        <groupItems>
          <s v="&lt;01/05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31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hly Revenue" cacheId="2" dataCaption="" compact="0" compactData="0">
  <location ref="A1:B5" firstHeaderRow="0" firstDataRow="1" firstDataCol="0"/>
  <pivotFields>
    <pivotField name="Sal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ale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0"/>
  </rowFields>
  <dataFields>
    <dataField name="SUM of Sales Amount" fld="7" baseField="0"/>
  </dataFields>
</pivotTableDefinition>
</file>

<file path=xl/pivotTables/pivotTable2.xml><?xml version="1.0" encoding="utf-8"?>
<pivotTableDefinition xmlns="http://schemas.openxmlformats.org/spreadsheetml/2006/main" name="Regional Revenue" cacheId="0" dataCaption="" compact="0" compactData="0">
  <location ref="A1:B6" firstHeaderRow="0" firstDataRow="1" firstDataCol="0"/>
  <pivotFields>
    <pivotField name="Sal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SUM of Sales Amount" fld="7" baseField="0"/>
  </dataFields>
</pivotTableDefinition>
</file>

<file path=xl/pivotTables/pivotTable3.xml><?xml version="1.0" encoding="utf-8"?>
<pivotTableDefinition xmlns="http://schemas.openxmlformats.org/spreadsheetml/2006/main" name="Category Revenue" cacheId="0" dataCaption="" compact="0" compactData="0">
  <location ref="A1:B5" firstHeaderRow="0" firstDataRow="1" firstDataCol="0"/>
  <pivotFields>
    <pivotField name="Sal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</pivotFields>
  <rowFields>
    <field x="9"/>
  </rowFields>
  <dataFields>
    <dataField name="SUM of Sales Amount" fld="7" baseField="0"/>
  </dataFields>
</pivotTableDefinition>
</file>

<file path=xl/pivotTables/pivotTable4.xml><?xml version="1.0" encoding="utf-8"?>
<pivotTableDefinition xmlns="http://schemas.openxmlformats.org/spreadsheetml/2006/main" name="Product Revenue" cacheId="1" dataCaption="" compact="0" compactData="0">
  <location ref="A1:B12" firstHeaderRow="0" firstDataRow="1" firstDataCol="0"/>
  <pivotFields>
    <pivotField name="Sal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8"/>
  </rowFields>
  <dataFields>
    <dataField name="SUM of Sales Amount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1001.0</v>
      </c>
      <c r="B2" s="1">
        <v>1.0</v>
      </c>
      <c r="C2" s="1">
        <v>2.0</v>
      </c>
      <c r="D2" s="2">
        <v>46027.0</v>
      </c>
      <c r="E2" s="1" t="s">
        <v>10</v>
      </c>
      <c r="F2" s="1" t="s">
        <v>11</v>
      </c>
      <c r="G2" s="3">
        <f t="array" ref="G2">_xlfn.XLOOKUP(B2,'Product data'!A:A,'Product data'!D:D)</f>
        <v>55000</v>
      </c>
      <c r="H2" s="3">
        <f t="shared" ref="H2:H21" si="1">C2*G2</f>
        <v>110000</v>
      </c>
      <c r="I2" s="3" t="str">
        <f t="array" ref="I2">_xlfn.XLOOKUP(B2,'Product data'!A:A,'Product data'!B:B)</f>
        <v>Laptop</v>
      </c>
      <c r="J2" s="3" t="str">
        <f t="array" ref="J2">_xlfn.XLOOKUP(B2,'Product data'!A:A,'Product data'!C:C)</f>
        <v>Electronics</v>
      </c>
    </row>
    <row r="3">
      <c r="A3" s="1">
        <v>1002.0</v>
      </c>
      <c r="B3" s="1">
        <v>2.0</v>
      </c>
      <c r="C3" s="1">
        <v>3.0</v>
      </c>
      <c r="D3" s="2">
        <v>46030.0</v>
      </c>
      <c r="E3" s="1" t="s">
        <v>12</v>
      </c>
      <c r="F3" s="1" t="s">
        <v>11</v>
      </c>
      <c r="G3" s="3">
        <f t="array" ref="G3">_xlfn.XLOOKUP(B3,'Product data'!A:A,'Product data'!D:D)</f>
        <v>25000</v>
      </c>
      <c r="H3" s="3">
        <f t="shared" si="1"/>
        <v>75000</v>
      </c>
      <c r="I3" s="3" t="str">
        <f t="array" ref="I3">_xlfn.XLOOKUP(B3,'Product data'!A:A,'Product data'!B:B)</f>
        <v>Smartphone</v>
      </c>
      <c r="J3" s="3" t="str">
        <f t="array" ref="J3">_xlfn.XLOOKUP(B3,'Product data'!A:A,'Product data'!C:C)</f>
        <v>Electronics</v>
      </c>
    </row>
    <row r="4">
      <c r="A4" s="1">
        <v>1003.0</v>
      </c>
      <c r="B4" s="1">
        <v>3.0</v>
      </c>
      <c r="C4" s="1">
        <v>5.0</v>
      </c>
      <c r="D4" s="2">
        <v>46034.0</v>
      </c>
      <c r="E4" s="1" t="s">
        <v>18</v>
      </c>
      <c r="F4" s="1" t="s">
        <v>14</v>
      </c>
      <c r="G4" s="3">
        <f t="array" ref="G4">_xlfn.XLOOKUP(B4,'Product data'!A:A,'Product data'!D:D)</f>
        <v>2500</v>
      </c>
      <c r="H4" s="3">
        <f t="shared" si="1"/>
        <v>12500</v>
      </c>
      <c r="I4" s="3" t="str">
        <f t="array" ref="I4">_xlfn.XLOOKUP(B4,'Product data'!A:A,'Product data'!B:B)</f>
        <v>Headphones</v>
      </c>
      <c r="J4" s="3" t="str">
        <f t="array" ref="J4">_xlfn.XLOOKUP(B4,'Product data'!A:A,'Product data'!C:C)</f>
        <v>Accessories</v>
      </c>
    </row>
    <row r="5" ht="18.75" customHeight="1">
      <c r="A5" s="1">
        <v>1004.0</v>
      </c>
      <c r="B5" s="1">
        <v>4.0</v>
      </c>
      <c r="C5" s="1">
        <v>4.0</v>
      </c>
      <c r="D5" s="2">
        <v>46037.0</v>
      </c>
      <c r="E5" s="4" t="s">
        <v>19</v>
      </c>
      <c r="F5" s="1" t="s">
        <v>15</v>
      </c>
      <c r="G5" s="3">
        <f t="array" ref="G5">_xlfn.XLOOKUP(B5,'Product data'!A:A,'Product data'!D:D)</f>
        <v>1500</v>
      </c>
      <c r="H5" s="3">
        <f t="shared" si="1"/>
        <v>6000</v>
      </c>
      <c r="I5" s="3" t="str">
        <f t="array" ref="I5">_xlfn.XLOOKUP(B5,'Product data'!A:A,'Product data'!B:B)</f>
        <v>Keyboard</v>
      </c>
      <c r="J5" s="3" t="str">
        <f t="array" ref="J5">_xlfn.XLOOKUP(B5,'Product data'!A:A,'Product data'!C:C)</f>
        <v>Accessories</v>
      </c>
    </row>
    <row r="6">
      <c r="A6" s="1">
        <v>1005.0</v>
      </c>
      <c r="B6" s="1">
        <v>5.0</v>
      </c>
      <c r="C6" s="1">
        <v>10.0</v>
      </c>
      <c r="D6" s="2">
        <v>46040.0</v>
      </c>
      <c r="E6" s="4" t="s">
        <v>23</v>
      </c>
      <c r="F6" s="1" t="s">
        <v>16</v>
      </c>
      <c r="G6" s="3">
        <f t="array" ref="G6">_xlfn.XLOOKUP(B6,'Product data'!A:A,'Product data'!D:D)</f>
        <v>800</v>
      </c>
      <c r="H6" s="3">
        <f t="shared" si="1"/>
        <v>8000</v>
      </c>
      <c r="I6" s="3" t="str">
        <f t="array" ref="I6">_xlfn.XLOOKUP(B6,'Product data'!A:A,'Product data'!B:B)</f>
        <v>Mouse</v>
      </c>
      <c r="J6" s="3" t="str">
        <f t="array" ref="J6">_xlfn.XLOOKUP(B6,'Product data'!A:A,'Product data'!C:C)</f>
        <v>Accessories</v>
      </c>
    </row>
    <row r="7">
      <c r="A7" s="1">
        <v>1006.0</v>
      </c>
      <c r="B7" s="1">
        <v>6.0</v>
      </c>
      <c r="C7" s="1">
        <v>2.0</v>
      </c>
      <c r="D7" s="2">
        <v>46042.0</v>
      </c>
      <c r="E7" s="1" t="s">
        <v>24</v>
      </c>
      <c r="F7" s="1" t="s">
        <v>11</v>
      </c>
      <c r="G7" s="3">
        <f t="array" ref="G7">_xlfn.XLOOKUP(B7,'Product data'!A:A,'Product data'!D:D)</f>
        <v>12000</v>
      </c>
      <c r="H7" s="3">
        <f t="shared" si="1"/>
        <v>24000</v>
      </c>
      <c r="I7" s="3" t="str">
        <f t="array" ref="I7">_xlfn.XLOOKUP(B7,'Product data'!A:A,'Product data'!B:B)</f>
        <v>Monitor</v>
      </c>
      <c r="J7" s="3" t="str">
        <f t="array" ref="J7">_xlfn.XLOOKUP(B7,'Product data'!A:A,'Product data'!C:C)</f>
        <v>Electronics</v>
      </c>
    </row>
    <row r="8">
      <c r="A8" s="1">
        <v>1007.0</v>
      </c>
      <c r="B8" s="1">
        <v>7.0</v>
      </c>
      <c r="C8" s="1">
        <v>3.0</v>
      </c>
      <c r="D8" s="2">
        <v>46055.0</v>
      </c>
      <c r="E8" s="1" t="s">
        <v>25</v>
      </c>
      <c r="F8" s="1" t="s">
        <v>14</v>
      </c>
      <c r="G8" s="3">
        <f t="array" ref="G8">_xlfn.XLOOKUP(B8,'Product data'!A:A,'Product data'!D:D)</f>
        <v>8500</v>
      </c>
      <c r="H8" s="3">
        <f t="shared" si="1"/>
        <v>25500</v>
      </c>
      <c r="I8" s="3" t="str">
        <f t="array" ref="I8">_xlfn.XLOOKUP(B8,'Product data'!A:A,'Product data'!B:B)</f>
        <v>Office Chair</v>
      </c>
      <c r="J8" s="3" t="str">
        <f t="array" ref="J8">_xlfn.XLOOKUP(B8,'Product data'!A:A,'Product data'!C:C)</f>
        <v>Furniture</v>
      </c>
    </row>
    <row r="9">
      <c r="A9" s="1">
        <v>1008.0</v>
      </c>
      <c r="B9" s="1">
        <v>8.0</v>
      </c>
      <c r="C9" s="1">
        <v>2.0</v>
      </c>
      <c r="D9" s="2">
        <v>46058.0</v>
      </c>
      <c r="E9" s="1" t="s">
        <v>26</v>
      </c>
      <c r="F9" s="1" t="s">
        <v>15</v>
      </c>
      <c r="G9" s="3">
        <f t="array" ref="G9">_xlfn.XLOOKUP(B9,'Product data'!A:A,'Product data'!D:D)</f>
        <v>10000</v>
      </c>
      <c r="H9" s="3">
        <f t="shared" si="1"/>
        <v>20000</v>
      </c>
      <c r="I9" s="3" t="str">
        <f t="array" ref="I9">_xlfn.XLOOKUP(B9,'Product data'!A:A,'Product data'!B:B)</f>
        <v>Desk</v>
      </c>
      <c r="J9" s="3" t="str">
        <f t="array" ref="J9">_xlfn.XLOOKUP(B9,'Product data'!A:A,'Product data'!C:C)</f>
        <v>Furniture</v>
      </c>
    </row>
    <row r="10">
      <c r="A10" s="1">
        <v>1009.0</v>
      </c>
      <c r="B10" s="1">
        <v>9.0</v>
      </c>
      <c r="C10" s="1">
        <v>1.0</v>
      </c>
      <c r="D10" s="2">
        <v>46063.0</v>
      </c>
      <c r="E10" s="1" t="s">
        <v>27</v>
      </c>
      <c r="F10" s="1" t="s">
        <v>16</v>
      </c>
      <c r="G10" s="3">
        <f t="array" ref="G10">_xlfn.XLOOKUP(B10,'Product data'!A:A,'Product data'!D:D)</f>
        <v>15000</v>
      </c>
      <c r="H10" s="3">
        <f t="shared" si="1"/>
        <v>15000</v>
      </c>
      <c r="I10" s="3" t="str">
        <f t="array" ref="I10">_xlfn.XLOOKUP(B10,'Product data'!A:A,'Product data'!B:B)</f>
        <v>Printer</v>
      </c>
      <c r="J10" s="3" t="str">
        <f t="array" ref="J10">_xlfn.XLOOKUP(B10,'Product data'!A:A,'Product data'!C:C)</f>
        <v>Electronics</v>
      </c>
    </row>
    <row r="11">
      <c r="A11" s="1">
        <v>1010.0</v>
      </c>
      <c r="B11" s="1">
        <v>10.0</v>
      </c>
      <c r="C11" s="1">
        <v>4.0</v>
      </c>
      <c r="D11" s="2">
        <v>46068.0</v>
      </c>
      <c r="E11" s="1" t="s">
        <v>29</v>
      </c>
      <c r="F11" s="1" t="s">
        <v>11</v>
      </c>
      <c r="G11" s="3">
        <f t="array" ref="G11">_xlfn.XLOOKUP(B11,'Product data'!A:A,'Product data'!D:D)</f>
        <v>3500</v>
      </c>
      <c r="H11" s="3">
        <f t="shared" si="1"/>
        <v>14000</v>
      </c>
      <c r="I11" s="3" t="str">
        <f t="array" ref="I11">_xlfn.XLOOKUP(B11,'Product data'!A:A,'Product data'!B:B)</f>
        <v>Webcam</v>
      </c>
      <c r="J11" s="3" t="str">
        <f t="array" ref="J11">_xlfn.XLOOKUP(B11,'Product data'!A:A,'Product data'!C:C)</f>
        <v>Accessories</v>
      </c>
    </row>
    <row r="12">
      <c r="A12" s="1">
        <v>1011.0</v>
      </c>
      <c r="B12" s="1">
        <v>1.0</v>
      </c>
      <c r="C12" s="1">
        <v>1.0</v>
      </c>
      <c r="D12" s="2">
        <v>46073.0</v>
      </c>
      <c r="E12" s="1" t="s">
        <v>41</v>
      </c>
      <c r="F12" s="1" t="s">
        <v>14</v>
      </c>
      <c r="G12" s="3">
        <f t="array" ref="G12">_xlfn.XLOOKUP(B12,'Product data'!A:A,'Product data'!D:D)</f>
        <v>55000</v>
      </c>
      <c r="H12" s="3">
        <f t="shared" si="1"/>
        <v>55000</v>
      </c>
      <c r="I12" s="3" t="str">
        <f t="array" ref="I12">_xlfn.XLOOKUP(B12,'Product data'!A:A,'Product data'!B:B)</f>
        <v>Laptop</v>
      </c>
      <c r="J12" s="3" t="str">
        <f t="array" ref="J12">_xlfn.XLOOKUP(B12,'Product data'!A:A,'Product data'!C:C)</f>
        <v>Electronics</v>
      </c>
    </row>
    <row r="13">
      <c r="A13" s="1">
        <v>1012.0</v>
      </c>
      <c r="B13" s="1">
        <v>2.0</v>
      </c>
      <c r="C13" s="1">
        <v>2.0</v>
      </c>
      <c r="D13" s="2">
        <v>46078.0</v>
      </c>
      <c r="E13" s="1" t="s">
        <v>42</v>
      </c>
      <c r="F13" s="1" t="s">
        <v>15</v>
      </c>
      <c r="G13" s="3">
        <f t="array" ref="G13">_xlfn.XLOOKUP(B13,'Product data'!A:A,'Product data'!D:D)</f>
        <v>25000</v>
      </c>
      <c r="H13" s="3">
        <f t="shared" si="1"/>
        <v>50000</v>
      </c>
      <c r="I13" s="3" t="str">
        <f t="array" ref="I13">_xlfn.XLOOKUP(B13,'Product data'!A:A,'Product data'!B:B)</f>
        <v>Smartphone</v>
      </c>
      <c r="J13" s="3" t="str">
        <f t="array" ref="J13">_xlfn.XLOOKUP(B13,'Product data'!A:A,'Product data'!C:C)</f>
        <v>Electronics</v>
      </c>
    </row>
    <row r="14">
      <c r="A14" s="1">
        <v>1013.0</v>
      </c>
      <c r="B14" s="1">
        <v>3.0</v>
      </c>
      <c r="C14" s="1">
        <v>8.0</v>
      </c>
      <c r="D14" s="2">
        <v>46084.0</v>
      </c>
      <c r="E14" s="1" t="s">
        <v>43</v>
      </c>
      <c r="F14" s="1" t="s">
        <v>16</v>
      </c>
      <c r="G14" s="3">
        <f t="array" ref="G14">_xlfn.XLOOKUP(B14,'Product data'!A:A,'Product data'!D:D)</f>
        <v>2500</v>
      </c>
      <c r="H14" s="3">
        <f t="shared" si="1"/>
        <v>20000</v>
      </c>
      <c r="I14" s="3" t="str">
        <f t="array" ref="I14">_xlfn.XLOOKUP(B14,'Product data'!A:A,'Product data'!B:B)</f>
        <v>Headphones</v>
      </c>
      <c r="J14" s="3" t="str">
        <f t="array" ref="J14">_xlfn.XLOOKUP(B14,'Product data'!A:A,'Product data'!C:C)</f>
        <v>Accessories</v>
      </c>
    </row>
    <row r="15">
      <c r="A15" s="1">
        <v>1014.0</v>
      </c>
      <c r="B15" s="1">
        <v>4.0</v>
      </c>
      <c r="C15" s="1">
        <v>6.0</v>
      </c>
      <c r="D15" s="2">
        <v>46088.0</v>
      </c>
      <c r="E15" s="1" t="s">
        <v>44</v>
      </c>
      <c r="F15" s="1" t="s">
        <v>11</v>
      </c>
      <c r="G15" s="3">
        <f t="array" ref="G15">_xlfn.XLOOKUP(B15,'Product data'!A:A,'Product data'!D:D)</f>
        <v>1500</v>
      </c>
      <c r="H15" s="3">
        <f t="shared" si="1"/>
        <v>9000</v>
      </c>
      <c r="I15" s="3" t="str">
        <f t="array" ref="I15">_xlfn.XLOOKUP(B15,'Product data'!A:A,'Product data'!B:B)</f>
        <v>Keyboard</v>
      </c>
      <c r="J15" s="3" t="str">
        <f t="array" ref="J15">_xlfn.XLOOKUP(B15,'Product data'!A:A,'Product data'!C:C)</f>
        <v>Accessories</v>
      </c>
    </row>
    <row r="16">
      <c r="A16" s="1">
        <v>1015.0</v>
      </c>
      <c r="B16" s="1">
        <v>5.0</v>
      </c>
      <c r="C16" s="1">
        <v>12.0</v>
      </c>
      <c r="D16" s="2">
        <v>46093.0</v>
      </c>
      <c r="E16" s="1" t="s">
        <v>45</v>
      </c>
      <c r="F16" s="1" t="s">
        <v>14</v>
      </c>
      <c r="G16" s="3">
        <f t="array" ref="G16">_xlfn.XLOOKUP(B16,'Product data'!A:A,'Product data'!D:D)</f>
        <v>800</v>
      </c>
      <c r="H16" s="3">
        <f t="shared" si="1"/>
        <v>9600</v>
      </c>
      <c r="I16" s="3" t="str">
        <f t="array" ref="I16">_xlfn.XLOOKUP(B16,'Product data'!A:A,'Product data'!B:B)</f>
        <v>Mouse</v>
      </c>
      <c r="J16" s="3" t="str">
        <f t="array" ref="J16">_xlfn.XLOOKUP(B16,'Product data'!A:A,'Product data'!C:C)</f>
        <v>Accessories</v>
      </c>
    </row>
    <row r="17">
      <c r="A17" s="1">
        <v>1016.0</v>
      </c>
      <c r="B17" s="1">
        <v>6.0</v>
      </c>
      <c r="C17" s="1">
        <v>3.0</v>
      </c>
      <c r="D17" s="2">
        <v>46099.0</v>
      </c>
      <c r="E17" s="1" t="s">
        <v>10</v>
      </c>
      <c r="F17" s="1" t="s">
        <v>15</v>
      </c>
      <c r="G17" s="3">
        <f t="array" ref="G17">_xlfn.XLOOKUP(B17,'Product data'!A:A,'Product data'!D:D)</f>
        <v>12000</v>
      </c>
      <c r="H17" s="3">
        <f t="shared" si="1"/>
        <v>36000</v>
      </c>
      <c r="I17" s="3" t="str">
        <f t="array" ref="I17">_xlfn.XLOOKUP(B17,'Product data'!A:A,'Product data'!B:B)</f>
        <v>Monitor</v>
      </c>
      <c r="J17" s="3" t="str">
        <f t="array" ref="J17">_xlfn.XLOOKUP(B17,'Product data'!A:A,'Product data'!C:C)</f>
        <v>Electronics</v>
      </c>
    </row>
    <row r="18">
      <c r="A18" s="1">
        <v>1017.0</v>
      </c>
      <c r="B18" s="1">
        <v>7.0</v>
      </c>
      <c r="C18" s="1">
        <v>2.0</v>
      </c>
      <c r="D18" s="2">
        <v>46103.0</v>
      </c>
      <c r="E18" s="1" t="s">
        <v>12</v>
      </c>
      <c r="F18" s="1" t="s">
        <v>16</v>
      </c>
      <c r="G18" s="3">
        <f t="array" ref="G18">_xlfn.XLOOKUP(B18,'Product data'!A:A,'Product data'!D:D)</f>
        <v>8500</v>
      </c>
      <c r="H18" s="3">
        <f t="shared" si="1"/>
        <v>17000</v>
      </c>
      <c r="I18" s="3" t="str">
        <f t="array" ref="I18">_xlfn.XLOOKUP(B18,'Product data'!A:A,'Product data'!B:B)</f>
        <v>Office Chair</v>
      </c>
      <c r="J18" s="3" t="str">
        <f t="array" ref="J18">_xlfn.XLOOKUP(B18,'Product data'!A:A,'Product data'!C:C)</f>
        <v>Furniture</v>
      </c>
    </row>
    <row r="19">
      <c r="A19" s="1">
        <v>1018.0</v>
      </c>
      <c r="B19" s="1">
        <v>8.0</v>
      </c>
      <c r="C19" s="1">
        <v>3.0</v>
      </c>
      <c r="D19" s="2">
        <v>46106.0</v>
      </c>
      <c r="E19" s="1" t="s">
        <v>18</v>
      </c>
      <c r="F19" s="1" t="s">
        <v>11</v>
      </c>
      <c r="G19" s="3">
        <f t="array" ref="G19">_xlfn.XLOOKUP(B19,'Product data'!A:A,'Product data'!D:D)</f>
        <v>10000</v>
      </c>
      <c r="H19" s="3">
        <f t="shared" si="1"/>
        <v>30000</v>
      </c>
      <c r="I19" s="3" t="str">
        <f t="array" ref="I19">_xlfn.XLOOKUP(B19,'Product data'!A:A,'Product data'!B:B)</f>
        <v>Desk</v>
      </c>
      <c r="J19" s="3" t="str">
        <f t="array" ref="J19">_xlfn.XLOOKUP(B19,'Product data'!A:A,'Product data'!C:C)</f>
        <v>Furniture</v>
      </c>
    </row>
    <row r="20">
      <c r="A20" s="1">
        <v>1019.0</v>
      </c>
      <c r="B20" s="1">
        <v>9.0</v>
      </c>
      <c r="C20" s="1">
        <v>2.0</v>
      </c>
      <c r="D20" s="2">
        <v>46109.0</v>
      </c>
      <c r="E20" s="1" t="s">
        <v>19</v>
      </c>
      <c r="F20" s="1" t="s">
        <v>14</v>
      </c>
      <c r="G20" s="3">
        <f t="array" ref="G20">_xlfn.XLOOKUP(B20,'Product data'!A:A,'Product data'!D:D)</f>
        <v>15000</v>
      </c>
      <c r="H20" s="3">
        <f t="shared" si="1"/>
        <v>30000</v>
      </c>
      <c r="I20" s="3" t="str">
        <f t="array" ref="I20">_xlfn.XLOOKUP(B20,'Product data'!A:A,'Product data'!B:B)</f>
        <v>Printer</v>
      </c>
      <c r="J20" s="3" t="str">
        <f t="array" ref="J20">_xlfn.XLOOKUP(B20,'Product data'!A:A,'Product data'!C:C)</f>
        <v>Electronics</v>
      </c>
    </row>
    <row r="21">
      <c r="A21" s="1">
        <v>1020.0</v>
      </c>
      <c r="B21" s="1">
        <v>10.0</v>
      </c>
      <c r="C21" s="1">
        <v>5.0</v>
      </c>
      <c r="D21" s="2">
        <v>46111.0</v>
      </c>
      <c r="E21" s="1" t="s">
        <v>23</v>
      </c>
      <c r="F21" s="1" t="s">
        <v>15</v>
      </c>
      <c r="G21" s="3">
        <f t="array" ref="G21">_xlfn.XLOOKUP(B21,'Product data'!A:A,'Product data'!D:D)</f>
        <v>3500</v>
      </c>
      <c r="H21" s="3">
        <f t="shared" si="1"/>
        <v>17500</v>
      </c>
      <c r="I21" s="3" t="str">
        <f t="array" ref="I21">_xlfn.XLOOKUP(B21,'Product data'!A:A,'Product data'!B:B)</f>
        <v>Webcam</v>
      </c>
      <c r="J21" s="3" t="str">
        <f t="array" ref="J21">_xlfn.XLOOKUP(B21,'Product data'!A:A,'Product data'!C:C)</f>
        <v>Accessories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28</v>
      </c>
      <c r="C1" s="1" t="s">
        <v>9</v>
      </c>
      <c r="D1" s="1" t="s">
        <v>30</v>
      </c>
    </row>
    <row r="2">
      <c r="A2" s="1">
        <v>1.0</v>
      </c>
      <c r="B2" s="1" t="s">
        <v>31</v>
      </c>
      <c r="C2" s="1" t="s">
        <v>21</v>
      </c>
      <c r="D2" s="1">
        <v>55000.0</v>
      </c>
    </row>
    <row r="3">
      <c r="A3" s="1">
        <v>2.0</v>
      </c>
      <c r="B3" s="1" t="s">
        <v>32</v>
      </c>
      <c r="C3" s="1" t="s">
        <v>21</v>
      </c>
      <c r="D3" s="1">
        <v>25000.0</v>
      </c>
    </row>
    <row r="4">
      <c r="A4" s="1">
        <v>3.0</v>
      </c>
      <c r="B4" s="1" t="s">
        <v>33</v>
      </c>
      <c r="C4" s="1" t="s">
        <v>20</v>
      </c>
      <c r="D4" s="1">
        <v>2500.0</v>
      </c>
    </row>
    <row r="5">
      <c r="A5" s="1">
        <v>4.0</v>
      </c>
      <c r="B5" s="1" t="s">
        <v>34</v>
      </c>
      <c r="C5" s="1" t="s">
        <v>20</v>
      </c>
      <c r="D5" s="1">
        <v>1500.0</v>
      </c>
    </row>
    <row r="6">
      <c r="A6" s="1">
        <v>5.0</v>
      </c>
      <c r="B6" s="1" t="s">
        <v>35</v>
      </c>
      <c r="C6" s="1" t="s">
        <v>20</v>
      </c>
      <c r="D6" s="1">
        <v>800.0</v>
      </c>
    </row>
    <row r="7">
      <c r="A7" s="1">
        <v>6.0</v>
      </c>
      <c r="B7" s="1" t="s">
        <v>36</v>
      </c>
      <c r="C7" s="1" t="s">
        <v>21</v>
      </c>
      <c r="D7" s="1">
        <v>12000.0</v>
      </c>
    </row>
    <row r="8">
      <c r="A8" s="1">
        <v>7.0</v>
      </c>
      <c r="B8" s="1" t="s">
        <v>37</v>
      </c>
      <c r="C8" s="1" t="s">
        <v>22</v>
      </c>
      <c r="D8" s="1">
        <v>8500.0</v>
      </c>
    </row>
    <row r="9">
      <c r="A9" s="1">
        <v>8.0</v>
      </c>
      <c r="B9" s="1" t="s">
        <v>38</v>
      </c>
      <c r="C9" s="1" t="s">
        <v>22</v>
      </c>
      <c r="D9" s="1">
        <v>10000.0</v>
      </c>
    </row>
    <row r="10">
      <c r="A10" s="1">
        <v>9.0</v>
      </c>
      <c r="B10" s="1" t="s">
        <v>39</v>
      </c>
      <c r="C10" s="1" t="s">
        <v>21</v>
      </c>
      <c r="D10" s="1">
        <v>15000.0</v>
      </c>
    </row>
    <row r="11">
      <c r="A11" s="1">
        <v>10.0</v>
      </c>
      <c r="B11" s="1" t="s">
        <v>40</v>
      </c>
      <c r="C11" s="1" t="s">
        <v>20</v>
      </c>
      <c r="D11" s="1">
        <v>3500.0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6" t="s">
        <v>50</v>
      </c>
    </row>
    <row r="2">
      <c r="B2" s="7" t="s">
        <v>51</v>
      </c>
      <c r="C2" s="8"/>
      <c r="D2" s="7" t="s">
        <v>52</v>
      </c>
      <c r="E2" s="8"/>
      <c r="F2" s="7" t="s">
        <v>53</v>
      </c>
      <c r="G2" s="8"/>
      <c r="H2" s="7" t="s">
        <v>54</v>
      </c>
      <c r="I2" s="8"/>
    </row>
    <row r="3">
      <c r="B3" s="9">
        <f>SUM('Raw sales data'!H2:H21)</f>
        <v>584100</v>
      </c>
      <c r="C3" s="10"/>
      <c r="D3" s="11">
        <f>SUM('Raw sales data'!C2:C21)</f>
        <v>80</v>
      </c>
      <c r="E3" s="10"/>
      <c r="F3" s="11">
        <f>COUNTA('Raw sales data'!A2:A21)</f>
        <v>20</v>
      </c>
      <c r="G3" s="10"/>
      <c r="H3" s="11">
        <f>AVERAGE('Raw sales data'!H2:H21)</f>
        <v>29205</v>
      </c>
      <c r="I3" s="10"/>
    </row>
    <row r="4">
      <c r="B4" s="12"/>
      <c r="C4" s="13"/>
      <c r="D4" s="12"/>
      <c r="E4" s="13"/>
      <c r="F4" s="12"/>
      <c r="G4" s="13"/>
      <c r="H4" s="12"/>
      <c r="I4" s="13"/>
    </row>
  </sheetData>
  <mergeCells count="8">
    <mergeCell ref="B2:C2"/>
    <mergeCell ref="D2:E2"/>
    <mergeCell ref="F2:G2"/>
    <mergeCell ref="H2:I2"/>
    <mergeCell ref="B3:C4"/>
    <mergeCell ref="D3:E4"/>
    <mergeCell ref="F3:G4"/>
    <mergeCell ref="H3:I4"/>
  </mergeCells>
  <drawing r:id="rId1"/>
</worksheet>
</file>